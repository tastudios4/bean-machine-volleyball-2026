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 BB 26" sheetId="1" r:id="rId5"/>
  </sheets>
  <definedNames/>
  <calcPr/>
</workbook>
</file>

<file path=xl/sharedStrings.xml><?xml version="1.0" encoding="utf-8"?>
<sst xmlns="http://schemas.openxmlformats.org/spreadsheetml/2006/main" count="351" uniqueCount="230">
  <si>
    <t>Wednesday BB LEAGUE</t>
  </si>
  <si>
    <t>FINISHED!</t>
  </si>
  <si>
    <t>Mercer Island Boys and Girls club</t>
  </si>
  <si>
    <t>Team #</t>
  </si>
  <si>
    <t>Team</t>
  </si>
  <si>
    <t>WINS</t>
  </si>
  <si>
    <t>LOSS</t>
  </si>
  <si>
    <t>Total games</t>
  </si>
  <si>
    <t>Winning %</t>
  </si>
  <si>
    <t>W1</t>
  </si>
  <si>
    <t>Tape Ticklers</t>
  </si>
  <si>
    <t>Sugar &amp; Spike</t>
  </si>
  <si>
    <t>W2</t>
  </si>
  <si>
    <t>Sets Up</t>
  </si>
  <si>
    <t>Spikachu</t>
  </si>
  <si>
    <t>W3</t>
  </si>
  <si>
    <t>Casual Sets</t>
  </si>
  <si>
    <t>Raw Butt Setz</t>
  </si>
  <si>
    <t>W4</t>
  </si>
  <si>
    <t>Volley these balls</t>
  </si>
  <si>
    <t>Student Divers</t>
  </si>
  <si>
    <t>W5</t>
  </si>
  <si>
    <t>*2.4 off</t>
  </si>
  <si>
    <t>Soufend Spikers</t>
  </si>
  <si>
    <t>W6</t>
  </si>
  <si>
    <t>Double Nut Jam Jigae (DNJJ)</t>
  </si>
  <si>
    <t xml:space="preserve">Pineapple </t>
  </si>
  <si>
    <t>W7</t>
  </si>
  <si>
    <t>Blue Dynasty</t>
  </si>
  <si>
    <t xml:space="preserve">Bean Machine </t>
  </si>
  <si>
    <t>Playoffs</t>
  </si>
  <si>
    <t xml:space="preserve">okc kfc </t>
  </si>
  <si>
    <t>Emerald City Tile Club</t>
  </si>
  <si>
    <t>Block youah</t>
  </si>
  <si>
    <t>Bean Machine</t>
  </si>
  <si>
    <t>Exodia + 1</t>
  </si>
  <si>
    <t>Raw Butt Sets</t>
  </si>
  <si>
    <t>Tecate</t>
  </si>
  <si>
    <t>Modelo</t>
  </si>
  <si>
    <t>Dons</t>
  </si>
  <si>
    <t>Block You-ah</t>
  </si>
  <si>
    <t>Double Nut Jam Jiggae</t>
  </si>
  <si>
    <t>Week 1</t>
  </si>
  <si>
    <t>Jan 7th</t>
  </si>
  <si>
    <t>Time</t>
  </si>
  <si>
    <t>C1</t>
  </si>
  <si>
    <t>winners + score</t>
  </si>
  <si>
    <t>C2</t>
  </si>
  <si>
    <t>C3</t>
  </si>
  <si>
    <t>C4</t>
  </si>
  <si>
    <t>8-810 warm-up, 810-900 play</t>
  </si>
  <si>
    <r>
      <t xml:space="preserve">1 vs. </t>
    </r>
    <r>
      <rPr>
        <rFont val="Arial"/>
        <b/>
        <strike/>
        <color theme="1"/>
      </rPr>
      <t>2</t>
    </r>
  </si>
  <si>
    <t>2 win, 15-25, 17-25</t>
  </si>
  <si>
    <r>
      <t xml:space="preserve">3 vs. </t>
    </r>
    <r>
      <rPr>
        <rFont val="Arial"/>
        <b/>
        <strike/>
        <color theme="1"/>
      </rPr>
      <t>4</t>
    </r>
  </si>
  <si>
    <t>4   15-25, 14-25</t>
  </si>
  <si>
    <r>
      <rPr>
        <rFont val="Arial"/>
        <b/>
        <strike/>
        <color theme="1"/>
      </rPr>
      <t>5</t>
    </r>
    <r>
      <rPr>
        <rFont val="Arial"/>
        <strike/>
        <color theme="1"/>
      </rPr>
      <t xml:space="preserve"> vs. 6</t>
    </r>
  </si>
  <si>
    <t>5 win 25-22, 25-18</t>
  </si>
  <si>
    <r>
      <t xml:space="preserve">7 vs. </t>
    </r>
    <r>
      <rPr>
        <rFont val="Arial"/>
        <b/>
        <strike/>
        <color theme="1"/>
      </rPr>
      <t>8</t>
    </r>
  </si>
  <si>
    <t>8 win 17-25, 21-25</t>
  </si>
  <si>
    <t>900-910 warm-up, 910-1000 play</t>
  </si>
  <si>
    <r>
      <t xml:space="preserve">9 vs. </t>
    </r>
    <r>
      <rPr>
        <rFont val="Arial"/>
        <b/>
        <strike/>
        <color theme="1"/>
      </rPr>
      <t>10</t>
    </r>
  </si>
  <si>
    <t>10 win, 21-25, 23-25</t>
  </si>
  <si>
    <r>
      <t xml:space="preserve">11 vs. </t>
    </r>
    <r>
      <rPr>
        <rFont val="Arial"/>
        <b/>
        <strike/>
        <color theme="1"/>
      </rPr>
      <t>12</t>
    </r>
  </si>
  <si>
    <t>12 24-26, 26-15, 2-6</t>
  </si>
  <si>
    <r>
      <t xml:space="preserve">13 vs. </t>
    </r>
    <r>
      <rPr>
        <rFont val="Arial"/>
        <b/>
        <strike/>
        <color theme="1"/>
      </rPr>
      <t>14</t>
    </r>
  </si>
  <si>
    <t>14 win 16-25, 20-25</t>
  </si>
  <si>
    <r>
      <t xml:space="preserve">15 vs. </t>
    </r>
    <r>
      <rPr>
        <rFont val="Arial"/>
        <b/>
        <strike/>
        <color theme="1"/>
      </rPr>
      <t>6</t>
    </r>
  </si>
  <si>
    <t>6 win, 25-23, 26-24</t>
  </si>
  <si>
    <t xml:space="preserve">*All teams play at 8 will help setup nets on the courts they are playing on. All teams playing at 9 will help break down the nets at 10pm. </t>
  </si>
  <si>
    <r>
      <t xml:space="preserve">8 v </t>
    </r>
    <r>
      <rPr>
        <rFont val="Arial"/>
        <b/>
        <strike/>
        <color theme="1"/>
      </rPr>
      <t>10</t>
    </r>
  </si>
  <si>
    <t>(10 win) 22-25, 25-21, 4-5</t>
  </si>
  <si>
    <r>
      <rPr>
        <rFont val="Arial"/>
        <b/>
        <strike/>
        <color theme="1"/>
      </rPr>
      <t>3</t>
    </r>
    <r>
      <rPr>
        <rFont val="Arial"/>
        <strike/>
        <color theme="1"/>
      </rPr>
      <t xml:space="preserve"> v 15</t>
    </r>
  </si>
  <si>
    <t>3 win: 25-20, 25-16</t>
  </si>
  <si>
    <r>
      <t xml:space="preserve">7 v </t>
    </r>
    <r>
      <rPr>
        <rFont val="Arial"/>
        <b/>
        <strike/>
        <color theme="1"/>
      </rPr>
      <t>11</t>
    </r>
  </si>
  <si>
    <t>11w,17-25,25-20,14-15</t>
  </si>
  <si>
    <r>
      <rPr>
        <rFont val="Arial"/>
        <b/>
        <strike/>
        <color theme="1"/>
      </rPr>
      <t>4</t>
    </r>
    <r>
      <rPr>
        <rFont val="Arial"/>
        <strike/>
        <color theme="1"/>
      </rPr>
      <t xml:space="preserve"> v 14</t>
    </r>
  </si>
  <si>
    <t>4 win  25-21, 25-21</t>
  </si>
  <si>
    <r>
      <rPr>
        <rFont val="Arial"/>
        <b/>
        <strike/>
        <color theme="1"/>
      </rPr>
      <t>6</t>
    </r>
    <r>
      <rPr>
        <rFont val="Arial"/>
        <strike/>
        <color theme="1"/>
      </rPr>
      <t xml:space="preserve"> v 12</t>
    </r>
  </si>
  <si>
    <t>6 win, 25-22, 20-25, 7-4</t>
  </si>
  <si>
    <r>
      <rPr>
        <rFont val="Arial"/>
        <b/>
        <strike/>
        <color theme="1"/>
      </rPr>
      <t>5</t>
    </r>
    <r>
      <rPr>
        <rFont val="Arial"/>
        <strike/>
        <color theme="1"/>
      </rPr>
      <t xml:space="preserve"> v 13</t>
    </r>
  </si>
  <si>
    <t>5 win: 25-17, 25-20</t>
  </si>
  <si>
    <r>
      <rPr>
        <rFont val="Arial"/>
        <strike/>
        <color theme="1"/>
      </rPr>
      <t xml:space="preserve">1 v </t>
    </r>
    <r>
      <rPr>
        <rFont val="Arial"/>
        <b/>
        <strike/>
        <color theme="1"/>
      </rPr>
      <t>9</t>
    </r>
  </si>
  <si>
    <t>9 win, 19-25, 12-25</t>
  </si>
  <si>
    <r>
      <t xml:space="preserve">2 v </t>
    </r>
    <r>
      <rPr>
        <rFont val="Arial"/>
        <b/>
        <strike/>
        <color theme="1"/>
      </rPr>
      <t>10</t>
    </r>
  </si>
  <si>
    <t>10 win, 26-28, 25-27</t>
  </si>
  <si>
    <r>
      <rPr>
        <rFont val="Arial"/>
        <b/>
        <strike/>
        <color theme="1"/>
      </rPr>
      <t>6</t>
    </r>
    <r>
      <rPr>
        <rFont val="Arial"/>
        <strike/>
        <color theme="1"/>
      </rPr>
      <t xml:space="preserve"> v 13</t>
    </r>
  </si>
  <si>
    <t>6 win 25-21 25-18</t>
  </si>
  <si>
    <t>4 v 10</t>
  </si>
  <si>
    <t>4 win: 25-14, 25-10</t>
  </si>
  <si>
    <r>
      <rPr>
        <rFont val="Arial"/>
        <b/>
        <strike/>
        <color theme="1"/>
      </rPr>
      <t>8</t>
    </r>
    <r>
      <rPr>
        <rFont val="Arial"/>
        <strike/>
        <color theme="1"/>
      </rPr>
      <t xml:space="preserve"> v 11</t>
    </r>
  </si>
  <si>
    <t>(8 win) 25-19, 25-15</t>
  </si>
  <si>
    <r>
      <rPr>
        <rFont val="Arial"/>
        <strike/>
        <color theme="1"/>
      </rPr>
      <t xml:space="preserve">2 v </t>
    </r>
    <r>
      <rPr>
        <rFont val="Arial"/>
        <b/>
        <strike/>
        <color theme="1"/>
      </rPr>
      <t>9</t>
    </r>
  </si>
  <si>
    <t>9 win, 23-25, 21-25</t>
  </si>
  <si>
    <t>1 v 3</t>
  </si>
  <si>
    <t>tie 20-25, 25-19</t>
  </si>
  <si>
    <r>
      <rPr>
        <rFont val="Arial"/>
        <b/>
        <strike/>
        <color theme="1"/>
      </rPr>
      <t>5</t>
    </r>
    <r>
      <rPr>
        <rFont val="Arial"/>
        <strike/>
        <color theme="1"/>
      </rPr>
      <t xml:space="preserve"> v 14</t>
    </r>
  </si>
  <si>
    <t>5 win: 25-20, 25-22</t>
  </si>
  <si>
    <t>4 v 15</t>
  </si>
  <si>
    <t>4 win: 25-16, 25-14</t>
  </si>
  <si>
    <r>
      <rPr>
        <rFont val="Arial"/>
        <b/>
        <strike/>
        <color theme="1"/>
      </rPr>
      <t>7</t>
    </r>
    <r>
      <rPr>
        <rFont val="Arial"/>
        <strike/>
        <color theme="1"/>
      </rPr>
      <t xml:space="preserve"> v 12</t>
    </r>
  </si>
  <si>
    <t>7 win, 25-20, 18-25, 7-5</t>
  </si>
  <si>
    <t>2 v 3</t>
  </si>
  <si>
    <t>3 win: 16-25, 25-14, 15-9</t>
  </si>
  <si>
    <t>10 v 13</t>
  </si>
  <si>
    <t>10 win, 21-25, 25-9, 15-11</t>
  </si>
  <si>
    <r>
      <rPr>
        <rFont val="Arial"/>
        <b/>
        <strike/>
        <color theme="1"/>
      </rPr>
      <t>5</t>
    </r>
    <r>
      <rPr>
        <rFont val="Arial"/>
        <strike/>
        <color theme="1"/>
      </rPr>
      <t xml:space="preserve"> v 15</t>
    </r>
  </si>
  <si>
    <t>5 win: 25-18, 25-22</t>
  </si>
  <si>
    <r>
      <rPr>
        <rFont val="Arial"/>
        <b/>
        <strike/>
        <color theme="1"/>
      </rPr>
      <t>8</t>
    </r>
    <r>
      <rPr>
        <rFont val="Arial"/>
        <strike/>
        <color theme="1"/>
      </rPr>
      <t xml:space="preserve"> v 12</t>
    </r>
  </si>
  <si>
    <t>8 win, 22-25, 25-17, 15-14</t>
  </si>
  <si>
    <t>7 v 13</t>
  </si>
  <si>
    <t>Both teams won 1 set, no time for third set</t>
  </si>
  <si>
    <t>9 v 11</t>
  </si>
  <si>
    <t xml:space="preserve">11: 25-20, 16-25, 12-15 </t>
  </si>
  <si>
    <t>1 v 4</t>
  </si>
  <si>
    <t>4 win: 25-15, 25-23</t>
  </si>
  <si>
    <t>6 v 14</t>
  </si>
  <si>
    <r>
      <rPr>
        <rFont val="Arial"/>
        <b/>
        <strike/>
        <color theme="1"/>
      </rPr>
      <t>Tie</t>
    </r>
    <r>
      <rPr>
        <rFont val="Arial"/>
        <strike/>
        <color theme="1"/>
      </rPr>
      <t>: 25-20, 20-25</t>
    </r>
  </si>
  <si>
    <r>
      <t xml:space="preserve">7 v </t>
    </r>
    <r>
      <rPr>
        <rFont val="Arial"/>
        <b/>
        <strike/>
        <color theme="1"/>
      </rPr>
      <t>14</t>
    </r>
  </si>
  <si>
    <t>14 win, 21-25, 21-25</t>
  </si>
  <si>
    <r>
      <rPr>
        <rFont val="Arial"/>
        <b/>
        <strike/>
        <color theme="1"/>
      </rPr>
      <t>8</t>
    </r>
    <r>
      <rPr>
        <rFont val="Arial"/>
        <strike/>
        <color theme="1"/>
      </rPr>
      <t xml:space="preserve"> v 13</t>
    </r>
  </si>
  <si>
    <t xml:space="preserve">8 win: 25-17, 25-22 </t>
  </si>
  <si>
    <t>3 v 6</t>
  </si>
  <si>
    <t>3 win, 25-18, 25-18</t>
  </si>
  <si>
    <r>
      <t xml:space="preserve">1 v </t>
    </r>
    <r>
      <rPr>
        <rFont val="Arial"/>
        <b/>
        <strike/>
        <color theme="1"/>
      </rPr>
      <t>5</t>
    </r>
  </si>
  <si>
    <t>5 win: 26-24, 19-25, 7-10</t>
  </si>
  <si>
    <t>10 v 11</t>
  </si>
  <si>
    <t>11: 23-25, 25-23, 10-11</t>
  </si>
  <si>
    <t>2 v 4</t>
  </si>
  <si>
    <t>4 win: 22-25, 17-25</t>
  </si>
  <si>
    <r>
      <rPr>
        <rFont val="Arial"/>
        <strike/>
        <color theme="1"/>
      </rPr>
      <t xml:space="preserve">9 v </t>
    </r>
    <r>
      <rPr>
        <rFont val="Arial"/>
        <b/>
        <strike/>
        <color theme="1"/>
      </rPr>
      <t>12</t>
    </r>
  </si>
  <si>
    <t>12 win: 19-25, 25-15, 12-15</t>
  </si>
  <si>
    <r>
      <rPr>
        <rFont val="Arial"/>
        <strike/>
        <color theme="1"/>
      </rPr>
      <t xml:space="preserve">7 v </t>
    </r>
    <r>
      <rPr>
        <rFont val="Arial"/>
        <b/>
        <strike/>
        <color theme="1"/>
      </rPr>
      <t>15</t>
    </r>
  </si>
  <si>
    <t>15 win: 22-25, 26-24</t>
  </si>
  <si>
    <t>10 v 12</t>
  </si>
  <si>
    <t>10 win; 21-25, 25-23, 15-12</t>
  </si>
  <si>
    <r>
      <t xml:space="preserve">3 v </t>
    </r>
    <r>
      <rPr>
        <rFont val="Arial"/>
        <b/>
        <strike/>
        <color theme="1"/>
      </rPr>
      <t>5</t>
    </r>
  </si>
  <si>
    <t>5 win: 18-25, 17-25</t>
  </si>
  <si>
    <r>
      <rPr>
        <rFont val="Arial"/>
        <b/>
        <strike/>
        <color theme="1"/>
      </rPr>
      <t xml:space="preserve">9 </t>
    </r>
    <r>
      <rPr>
        <rFont val="Arial"/>
        <strike/>
        <color theme="1"/>
      </rPr>
      <t>v 13</t>
    </r>
  </si>
  <si>
    <t>9 win: 25-22, 25-20 (?)</t>
  </si>
  <si>
    <r>
      <rPr>
        <rFont val="Arial"/>
        <b/>
        <strike/>
        <color theme="1"/>
      </rPr>
      <t>8</t>
    </r>
    <r>
      <rPr>
        <rFont val="Arial"/>
        <strike/>
        <color theme="1"/>
      </rPr>
      <t xml:space="preserve"> v 14</t>
    </r>
  </si>
  <si>
    <t>8 win, 25-17, 20-25, 13-8</t>
  </si>
  <si>
    <t>4 v 11</t>
  </si>
  <si>
    <t>4 win, 25-22, 25-20, 15-3</t>
  </si>
  <si>
    <t>2 v 7</t>
  </si>
  <si>
    <t>7 win</t>
  </si>
  <si>
    <t>12 v 15</t>
  </si>
  <si>
    <t>12 win: 25-18, 25-15</t>
  </si>
  <si>
    <r>
      <rPr>
        <rFont val="Arial"/>
        <strike/>
        <color theme="1"/>
      </rPr>
      <t xml:space="preserve">1 v </t>
    </r>
    <r>
      <rPr>
        <rFont val="Arial"/>
        <b/>
        <strike/>
        <color theme="1"/>
      </rPr>
      <t>6</t>
    </r>
  </si>
  <si>
    <t>6 win, 18-25, 25-23, 13-11</t>
  </si>
  <si>
    <t>2 v 6</t>
  </si>
  <si>
    <t>2 win, 25-19, 25-21</t>
  </si>
  <si>
    <r>
      <rPr>
        <rFont val="Arial"/>
        <strike/>
        <color theme="1"/>
      </rPr>
      <t xml:space="preserve">9 v </t>
    </r>
    <r>
      <rPr>
        <rFont val="Arial"/>
        <b/>
        <strike/>
        <color theme="1"/>
      </rPr>
      <t>14</t>
    </r>
  </si>
  <si>
    <t>14 win, 18-25, 33-35</t>
  </si>
  <si>
    <t xml:space="preserve"> 3 v 12</t>
  </si>
  <si>
    <t>12 win 16-25, 25-27</t>
  </si>
  <si>
    <r>
      <rPr>
        <rFont val="Arial"/>
        <b/>
        <strike/>
        <color theme="1"/>
      </rPr>
      <t>8</t>
    </r>
    <r>
      <rPr>
        <rFont val="Arial"/>
        <strike/>
        <color theme="1"/>
      </rPr>
      <t xml:space="preserve"> v 15</t>
    </r>
  </si>
  <si>
    <t>8 win, 25-18, 25-15</t>
  </si>
  <si>
    <t>4 v 5</t>
  </si>
  <si>
    <t>4 win, 25-23, 26-24</t>
  </si>
  <si>
    <t>11 v 13</t>
  </si>
  <si>
    <t>11 win: 23-25, 25-23, 9-6</t>
  </si>
  <si>
    <t>10 v 14</t>
  </si>
  <si>
    <t>10 win; 19-25, 25-17, 15-11</t>
  </si>
  <si>
    <t>1 v 7</t>
  </si>
  <si>
    <t>1 win, 25-22, 25-18, 10-3</t>
  </si>
  <si>
    <t>PLAYOFF SCHEDULES</t>
  </si>
  <si>
    <t xml:space="preserve">WED BB GOLD - </t>
  </si>
  <si>
    <t xml:space="preserve">SINGLE ELIMINATION </t>
  </si>
  <si>
    <t>M1 GOLD</t>
  </si>
  <si>
    <t>M2 GOLD</t>
  </si>
  <si>
    <t>M3 GOLD</t>
  </si>
  <si>
    <t>M1 SILVER</t>
  </si>
  <si>
    <t>1 VOLLEY THESE BALLS</t>
  </si>
  <si>
    <t>2 SPIKACHU</t>
  </si>
  <si>
    <t>M2 SILVER</t>
  </si>
  <si>
    <t>M3 SILVER</t>
  </si>
  <si>
    <t>M4 SILVER</t>
  </si>
  <si>
    <t>M4 GOLD</t>
  </si>
  <si>
    <t>M3</t>
  </si>
  <si>
    <t>M1</t>
  </si>
  <si>
    <t xml:space="preserve">Spikachu </t>
  </si>
  <si>
    <t>CT3</t>
  </si>
  <si>
    <t>M5 GOLD</t>
  </si>
  <si>
    <t>M6 GOLD</t>
  </si>
  <si>
    <t>M5 SILVER</t>
  </si>
  <si>
    <t>M7 SILVER</t>
  </si>
  <si>
    <t>M7 GOLD CHAMPS</t>
  </si>
  <si>
    <t>FREE COURT</t>
  </si>
  <si>
    <t>M6 SILVER CHAMPS</t>
  </si>
  <si>
    <t>M8 SILVER</t>
  </si>
  <si>
    <t>CT 1</t>
  </si>
  <si>
    <t>GAMES: 21-21-15</t>
  </si>
  <si>
    <t>8 EMERALD CITY TILE CLUB</t>
  </si>
  <si>
    <t>7 MODELO</t>
  </si>
  <si>
    <t>M6</t>
  </si>
  <si>
    <t>Volley These Balls</t>
  </si>
  <si>
    <t>FINAL</t>
  </si>
  <si>
    <t>M5</t>
  </si>
  <si>
    <t>CT 2</t>
  </si>
  <si>
    <t>M7</t>
  </si>
  <si>
    <t>3 SUGAR AND SPIKE</t>
  </si>
  <si>
    <t>5 PINEAPPLE</t>
  </si>
  <si>
    <t>M2</t>
  </si>
  <si>
    <t>M4</t>
  </si>
  <si>
    <t>Sugar and Spike</t>
  </si>
  <si>
    <t>CT4</t>
  </si>
  <si>
    <t>6 DNJJ</t>
  </si>
  <si>
    <t>4 RAW BUTT SETS</t>
  </si>
  <si>
    <t>BB SILVER - 7 TEAMS</t>
  </si>
  <si>
    <t>MODIFIED DOUBLE ELIM</t>
  </si>
  <si>
    <t>1 BEAN MACHINE</t>
  </si>
  <si>
    <t>6 STUDENT DRIVER</t>
  </si>
  <si>
    <t>CT 4</t>
  </si>
  <si>
    <t>Block You-Ah</t>
  </si>
  <si>
    <t>7 BLOCK YOU-AH</t>
  </si>
  <si>
    <t>4 BLUE DYNASTY</t>
  </si>
  <si>
    <t>CT 3</t>
  </si>
  <si>
    <t>Setups Up</t>
  </si>
  <si>
    <t>3 SETUPS UP</t>
  </si>
  <si>
    <t>5 TAPE TICKLER</t>
  </si>
  <si>
    <t>Tape Tickler</t>
  </si>
  <si>
    <t>2 CASUAL SETS</t>
  </si>
  <si>
    <t>L1</t>
  </si>
  <si>
    <t>Student Driver</t>
  </si>
  <si>
    <t>CT 4 8:00 PM</t>
  </si>
  <si>
    <t>L3</t>
  </si>
  <si>
    <t>L2</t>
  </si>
  <si>
    <t>M8</t>
  </si>
  <si>
    <t>CT 4 9:00 PM</t>
  </si>
  <si>
    <t>L4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</si>
</sst>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"/>
    <numFmt numFmtId="165" formatCode="m/d"/>
    <numFmt numFmtId="166" formatCode="h:mm am/pm"/>
    <numFmt numFmtId="167" formatCode="m/d h:mm am/pm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sz val="9.0"/>
      <color theme="1"/>
      <name val="Arial"/>
    </font>
    <font>
      <color theme="1"/>
      <name val="Roboto"/>
    </font>
    <font>
      <color rgb="FF000000"/>
      <name val="Roboto"/>
    </font>
    <font>
      <color rgb="FFFF0000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strike/>
      <color theme="1"/>
      <name val="Arial"/>
    </font>
    <font>
      <b/>
      <sz val="11.0"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ont="1"/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1" fillId="2" fontId="6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shrinkToFit="0" wrapText="0"/>
    </xf>
    <xf borderId="1" fillId="2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0" fillId="2" fontId="5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1" fillId="2" fontId="7" numFmtId="0" xfId="0" applyAlignment="1" applyBorder="1" applyFont="1">
      <alignment shrinkToFit="0" wrapText="0"/>
    </xf>
    <xf borderId="0" fillId="2" fontId="8" numFmtId="0" xfId="0" applyAlignment="1" applyFont="1">
      <alignment shrinkToFit="0" wrapText="0"/>
    </xf>
    <xf borderId="1" fillId="2" fontId="4" numFmtId="0" xfId="0" applyAlignment="1" applyBorder="1" applyFont="1">
      <alignment horizontal="right"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1" fillId="2" fontId="8" numFmtId="0" xfId="0" applyAlignment="1" applyBorder="1" applyFont="1">
      <alignment shrinkToFit="0" wrapText="0"/>
    </xf>
    <xf borderId="1" fillId="2" fontId="3" numFmtId="0" xfId="0" applyAlignment="1" applyBorder="1" applyFont="1">
      <alignment readingOrder="0"/>
    </xf>
    <xf borderId="1" fillId="2" fontId="5" numFmtId="0" xfId="0" applyAlignment="1" applyBorder="1" applyFont="1">
      <alignment readingOrder="0" shrinkToFit="0" wrapText="0"/>
    </xf>
    <xf borderId="0" fillId="2" fontId="7" numFmtId="0" xfId="0" applyAlignment="1" applyFont="1">
      <alignment shrinkToFit="0" wrapText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/>
    </xf>
    <xf borderId="0" fillId="0" fontId="10" numFmtId="0" xfId="0" applyFont="1"/>
    <xf borderId="1" fillId="0" fontId="3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0" fillId="2" fontId="3" numFmtId="164" xfId="0" applyAlignment="1" applyFont="1" applyNumberFormat="1">
      <alignment readingOrder="0"/>
    </xf>
    <xf borderId="1" fillId="2" fontId="3" numFmtId="0" xfId="0" applyAlignment="1" applyBorder="1" applyFont="1">
      <alignment horizontal="center" readingOrder="0"/>
    </xf>
    <xf borderId="1" fillId="2" fontId="11" numFmtId="0" xfId="0" applyAlignment="1" applyBorder="1" applyFont="1">
      <alignment readingOrder="0"/>
    </xf>
    <xf borderId="1" fillId="2" fontId="11" numFmtId="0" xfId="0" applyAlignment="1" applyBorder="1" applyFont="1">
      <alignment horizontal="center" readingOrder="0"/>
    </xf>
    <xf borderId="0" fillId="2" fontId="4" numFmtId="164" xfId="0" applyAlignment="1" applyFont="1" applyNumberFormat="1">
      <alignment horizontal="right" readingOrder="0" vertical="bottom"/>
    </xf>
    <xf borderId="0" fillId="2" fontId="4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2" numFmtId="0" xfId="0" applyAlignment="1" applyBorder="1" applyFont="1">
      <alignment vertical="bottom"/>
    </xf>
    <xf borderId="1" fillId="4" fontId="3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bottom"/>
    </xf>
    <xf borderId="4" fillId="0" fontId="4" numFmtId="0" xfId="0" applyAlignment="1" applyBorder="1" applyFont="1">
      <alignment readingOrder="0" vertical="bottom"/>
    </xf>
    <xf borderId="5" fillId="2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7" fillId="0" fontId="4" numFmtId="165" xfId="0" applyAlignment="1" applyBorder="1" applyFont="1" applyNumberFormat="1">
      <alignment readingOrder="0" vertical="bottom"/>
    </xf>
    <xf borderId="6" fillId="0" fontId="4" numFmtId="165" xfId="0" applyAlignment="1" applyBorder="1" applyFont="1" applyNumberFormat="1">
      <alignment horizontal="left" readingOrder="0" vertical="bottom"/>
    </xf>
    <xf borderId="7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7" fillId="0" fontId="4" numFmtId="0" xfId="0" applyAlignment="1" applyBorder="1" applyFont="1">
      <alignment readingOrder="0" vertical="bottom"/>
    </xf>
    <xf borderId="6" fillId="0" fontId="4" numFmtId="166" xfId="0" applyAlignment="1" applyBorder="1" applyFont="1" applyNumberFormat="1">
      <alignment readingOrder="0" vertical="bottom"/>
    </xf>
    <xf borderId="7" fillId="0" fontId="4" numFmtId="166" xfId="0" applyAlignment="1" applyBorder="1" applyFont="1" applyNumberFormat="1">
      <alignment readingOrder="0" vertical="bottom"/>
    </xf>
    <xf borderId="1" fillId="6" fontId="3" numFmtId="0" xfId="0" applyAlignment="1" applyBorder="1" applyFill="1" applyFont="1">
      <alignment horizontal="center" readingOrder="0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0" fillId="2" fontId="12" numFmtId="0" xfId="0" applyAlignment="1" applyFont="1">
      <alignment readingOrder="0" vertical="bottom"/>
    </xf>
    <xf borderId="6" fillId="0" fontId="4" numFmtId="165" xfId="0" applyAlignment="1" applyBorder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12" numFmtId="0" xfId="0" applyAlignment="1" applyFont="1">
      <alignment readingOrder="0" vertical="bottom"/>
    </xf>
    <xf borderId="6" fillId="0" fontId="4" numFmtId="20" xfId="0" applyAlignment="1" applyBorder="1" applyFont="1" applyNumberFormat="1">
      <alignment horizontal="center" readingOrder="0" vertical="bottom"/>
    </xf>
    <xf borderId="0" fillId="0" fontId="4" numFmtId="20" xfId="0" applyAlignment="1" applyFont="1" applyNumberForma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6" fillId="0" fontId="4" numFmtId="166" xfId="0" applyAlignment="1" applyBorder="1" applyFont="1" applyNumberFormat="1">
      <alignment horizontal="center" readingOrder="0" vertical="bottom"/>
    </xf>
    <xf borderId="0" fillId="0" fontId="4" numFmtId="166" xfId="0" applyAlignment="1" applyFont="1" applyNumberFormat="1">
      <alignment horizontal="center" readingOrder="0" vertical="bottom"/>
    </xf>
    <xf borderId="7" fillId="0" fontId="4" numFmtId="165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7" fillId="0" fontId="14" numFmtId="0" xfId="0" applyAlignment="1" applyBorder="1" applyFont="1">
      <alignment horizontal="center" readingOrder="0" vertical="bottom"/>
    </xf>
    <xf borderId="11" fillId="0" fontId="14" numFmtId="0" xfId="0" applyAlignment="1" applyBorder="1" applyFont="1">
      <alignment horizontal="center" readingOrder="0" vertical="bottom"/>
    </xf>
    <xf borderId="0" fillId="2" fontId="4" numFmtId="20" xfId="0" applyAlignment="1" applyFont="1" applyNumberForma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7" fillId="0" fontId="4" numFmtId="20" xfId="0" applyAlignment="1" applyBorder="1" applyFont="1" applyNumberFormat="1">
      <alignment horizontal="center" readingOrder="0" vertical="bottom"/>
    </xf>
    <xf borderId="8" fillId="0" fontId="4" numFmtId="0" xfId="0" applyAlignment="1" applyBorder="1" applyFont="1">
      <alignment readingOrder="0" vertical="bottom"/>
    </xf>
    <xf borderId="0" fillId="3" fontId="1" numFmtId="0" xfId="0" applyAlignment="1" applyFont="1">
      <alignment readingOrder="0"/>
    </xf>
    <xf borderId="0" fillId="0" fontId="10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6" fillId="0" fontId="3" numFmtId="0" xfId="0" applyBorder="1" applyFont="1"/>
    <xf borderId="6" fillId="0" fontId="3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6" fillId="0" fontId="3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readingOrder="0" vertical="bottom"/>
    </xf>
    <xf borderId="6" fillId="0" fontId="3" numFmtId="165" xfId="0" applyAlignment="1" applyBorder="1" applyFont="1" applyNumberFormat="1">
      <alignment readingOrder="0"/>
    </xf>
    <xf borderId="8" fillId="0" fontId="3" numFmtId="0" xfId="0" applyBorder="1" applyFont="1"/>
    <xf borderId="0" fillId="0" fontId="11" numFmtId="0" xfId="0" applyAlignment="1" applyFont="1">
      <alignment readingOrder="0"/>
    </xf>
    <xf borderId="6" fillId="0" fontId="3" numFmtId="166" xfId="0" applyAlignment="1" applyBorder="1" applyFont="1" applyNumberFormat="1">
      <alignment readingOrder="0"/>
    </xf>
    <xf borderId="6" fillId="0" fontId="10" numFmtId="0" xfId="0" applyAlignment="1" applyBorder="1" applyFont="1">
      <alignment readingOrder="0"/>
    </xf>
    <xf borderId="6" fillId="0" fontId="4" numFmtId="167" xfId="0" applyAlignment="1" applyBorder="1" applyFont="1" applyNumberFormat="1">
      <alignment readingOrder="0" vertical="bottom"/>
    </xf>
    <xf borderId="0" fillId="0" fontId="4" numFmtId="167" xfId="0" applyAlignment="1" applyFont="1" applyNumberFormat="1">
      <alignment readingOrder="0" vertical="bottom"/>
    </xf>
    <xf borderId="0" fillId="2" fontId="4" numFmtId="0" xfId="0" applyAlignment="1" applyFont="1">
      <alignment readingOrder="0" vertical="bottom"/>
    </xf>
    <xf borderId="6" fillId="0" fontId="4" numFmtId="0" xfId="0" applyAlignment="1" applyBorder="1" applyFont="1">
      <alignment horizontal="center" readingOrder="0" vertical="bottom"/>
    </xf>
    <xf borderId="6" fillId="0" fontId="4" numFmtId="167" xfId="0" applyAlignment="1" applyBorder="1" applyFont="1" applyNumberFormat="1">
      <alignment horizontal="center" readingOrder="0" vertical="bottom"/>
    </xf>
    <xf borderId="6" fillId="0" fontId="4" numFmtId="165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Wed BB 26-style">
      <tableStyleElement dxfId="1" type="firstRowStripe"/>
      <tableStyleElement dxfId="2" type="secondRowStripe"/>
    </tableStyle>
    <tableStyle count="2" pivot="0" name="Wed BB 26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A19" displayName="Table_1" name="Table_1" id="1">
  <tableColumns count="1">
    <tableColumn name="Column1" id="1"/>
  </tableColumns>
  <tableStyleInfo name="Wed BB 26-style" showColumnStripes="0" showFirstColumn="1" showLastColumn="1" showRowStripes="1"/>
</table>
</file>

<file path=xl/tables/table2.xml><?xml version="1.0" encoding="utf-8"?>
<table xmlns="http://schemas.openxmlformats.org/spreadsheetml/2006/main" headerRowCount="0" ref="I5:I19" displayName="Table_2" name="Table_2" id="2">
  <tableColumns count="1">
    <tableColumn name="Column1" id="1"/>
  </tableColumns>
  <tableStyleInfo name="Wed BB 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1.38"/>
    <col customWidth="1" min="3" max="3" width="23.13"/>
    <col customWidth="1" hidden="1" min="4" max="4" width="23.13"/>
    <col customWidth="1" min="5" max="5" width="22.63"/>
    <col customWidth="1" min="6" max="6" width="23.88"/>
    <col customWidth="1" min="7" max="7" width="22.63"/>
    <col customWidth="1" min="8" max="8" width="16.63"/>
    <col customWidth="1" min="9" max="9" width="33.75"/>
    <col customWidth="1" min="10" max="10" width="15.63"/>
    <col customWidth="1" min="11" max="11" width="29.63"/>
    <col customWidth="1" min="12" max="12" width="17.75"/>
    <col customWidth="1" min="14" max="14" width="17.75"/>
  </cols>
  <sheetData>
    <row r="1">
      <c r="A1" s="1" t="s">
        <v>0</v>
      </c>
      <c r="C1" s="2" t="s">
        <v>1</v>
      </c>
      <c r="D1" s="2"/>
    </row>
    <row r="2">
      <c r="A2" s="1" t="s">
        <v>2</v>
      </c>
    </row>
    <row r="3">
      <c r="A3" s="3"/>
      <c r="B3" s="4"/>
      <c r="C3" s="5"/>
      <c r="D3" s="5"/>
      <c r="E3" s="5"/>
      <c r="F3" s="5"/>
      <c r="G3" s="5"/>
      <c r="H3" s="5"/>
      <c r="I3" s="3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B4" s="7" t="s">
        <v>3</v>
      </c>
      <c r="C4" s="8" t="s">
        <v>4</v>
      </c>
      <c r="D4" s="8"/>
      <c r="E4" s="8" t="s">
        <v>5</v>
      </c>
      <c r="F4" s="8" t="s">
        <v>6</v>
      </c>
      <c r="G4" s="8" t="s">
        <v>7</v>
      </c>
      <c r="H4" s="8" t="s">
        <v>8</v>
      </c>
      <c r="J4" s="9" t="s">
        <v>9</v>
      </c>
      <c r="K4" s="9">
        <v>1.7</v>
      </c>
    </row>
    <row r="5">
      <c r="A5" s="10"/>
      <c r="B5" s="11">
        <v>1.0</v>
      </c>
      <c r="C5" s="12" t="s">
        <v>10</v>
      </c>
      <c r="D5" s="12"/>
      <c r="E5" s="13">
        <v>3.0</v>
      </c>
      <c r="F5" s="13">
        <v>12.0</v>
      </c>
      <c r="G5" s="14">
        <f t="shared" ref="G5:G18" si="1">sum(E5:F5)</f>
        <v>15</v>
      </c>
      <c r="H5" s="15">
        <f t="shared" ref="H5:H19" si="2">E5/G5</f>
        <v>0.2</v>
      </c>
      <c r="I5" s="16" t="s">
        <v>11</v>
      </c>
      <c r="J5" s="9" t="s">
        <v>12</v>
      </c>
      <c r="K5" s="9">
        <v>1.14</v>
      </c>
    </row>
    <row r="6">
      <c r="A6" s="10"/>
      <c r="B6" s="11">
        <v>2.0</v>
      </c>
      <c r="C6" s="12" t="s">
        <v>13</v>
      </c>
      <c r="D6" s="12"/>
      <c r="E6" s="13">
        <v>5.0</v>
      </c>
      <c r="F6" s="13">
        <v>8.0</v>
      </c>
      <c r="G6" s="14">
        <f t="shared" si="1"/>
        <v>13</v>
      </c>
      <c r="H6" s="15">
        <f t="shared" si="2"/>
        <v>0.3846153846</v>
      </c>
      <c r="I6" s="16" t="s">
        <v>14</v>
      </c>
      <c r="J6" s="9" t="s">
        <v>15</v>
      </c>
      <c r="K6" s="9">
        <v>1.21</v>
      </c>
    </row>
    <row r="7">
      <c r="A7" s="17"/>
      <c r="B7" s="11">
        <v>3.0</v>
      </c>
      <c r="C7" s="18" t="s">
        <v>16</v>
      </c>
      <c r="D7" s="18"/>
      <c r="E7" s="13">
        <v>7.0</v>
      </c>
      <c r="F7" s="13">
        <v>8.0</v>
      </c>
      <c r="G7" s="14">
        <f t="shared" si="1"/>
        <v>15</v>
      </c>
      <c r="H7" s="15">
        <f t="shared" si="2"/>
        <v>0.4666666667</v>
      </c>
      <c r="I7" s="19" t="s">
        <v>17</v>
      </c>
      <c r="J7" s="9" t="s">
        <v>18</v>
      </c>
      <c r="K7" s="9">
        <v>1.28</v>
      </c>
    </row>
    <row r="8">
      <c r="A8" s="10"/>
      <c r="B8" s="11">
        <v>4.0</v>
      </c>
      <c r="C8" s="12" t="s">
        <v>19</v>
      </c>
      <c r="D8" s="12"/>
      <c r="E8" s="13">
        <v>11.0</v>
      </c>
      <c r="F8" s="13">
        <v>0.0</v>
      </c>
      <c r="G8" s="14">
        <f t="shared" si="1"/>
        <v>11</v>
      </c>
      <c r="H8" s="20">
        <f t="shared" si="2"/>
        <v>1</v>
      </c>
      <c r="I8" s="16" t="s">
        <v>20</v>
      </c>
      <c r="J8" s="9" t="s">
        <v>21</v>
      </c>
      <c r="K8" s="9">
        <v>2.11</v>
      </c>
      <c r="L8" s="21" t="s">
        <v>22</v>
      </c>
    </row>
    <row r="9">
      <c r="A9" s="10"/>
      <c r="B9" s="11">
        <v>5.0</v>
      </c>
      <c r="C9" s="12" t="s">
        <v>14</v>
      </c>
      <c r="D9" s="12"/>
      <c r="E9" s="13">
        <v>12.0</v>
      </c>
      <c r="F9" s="13">
        <v>2.0</v>
      </c>
      <c r="G9" s="14">
        <f t="shared" si="1"/>
        <v>14</v>
      </c>
      <c r="H9" s="20">
        <f t="shared" si="2"/>
        <v>0.8571428571</v>
      </c>
      <c r="I9" s="16" t="s">
        <v>23</v>
      </c>
      <c r="J9" s="9" t="s">
        <v>24</v>
      </c>
      <c r="K9" s="9">
        <v>2.18</v>
      </c>
    </row>
    <row r="10">
      <c r="A10" s="10"/>
      <c r="B10" s="11">
        <v>6.0</v>
      </c>
      <c r="C10" s="12" t="s">
        <v>25</v>
      </c>
      <c r="D10" s="12"/>
      <c r="E10" s="13">
        <v>9.0</v>
      </c>
      <c r="F10" s="13">
        <v>8.0</v>
      </c>
      <c r="G10" s="14">
        <f t="shared" si="1"/>
        <v>17</v>
      </c>
      <c r="H10" s="20">
        <f t="shared" si="2"/>
        <v>0.5294117647</v>
      </c>
      <c r="I10" s="16" t="s">
        <v>26</v>
      </c>
      <c r="J10" s="9" t="s">
        <v>27</v>
      </c>
      <c r="K10" s="9">
        <v>2.25</v>
      </c>
    </row>
    <row r="11">
      <c r="A11" s="22"/>
      <c r="B11" s="11">
        <v>7.0</v>
      </c>
      <c r="C11" s="23" t="s">
        <v>28</v>
      </c>
      <c r="D11" s="23"/>
      <c r="E11" s="24">
        <v>5.0</v>
      </c>
      <c r="F11" s="24">
        <v>11.0</v>
      </c>
      <c r="G11" s="14">
        <f t="shared" si="1"/>
        <v>16</v>
      </c>
      <c r="H11" s="15">
        <f t="shared" si="2"/>
        <v>0.3125</v>
      </c>
      <c r="I11" s="16" t="s">
        <v>29</v>
      </c>
      <c r="J11" s="9" t="s">
        <v>30</v>
      </c>
      <c r="K11" s="9">
        <v>3.4</v>
      </c>
    </row>
    <row r="12">
      <c r="A12" s="10"/>
      <c r="B12" s="11">
        <v>8.0</v>
      </c>
      <c r="C12" s="25" t="s">
        <v>11</v>
      </c>
      <c r="D12" s="25"/>
      <c r="E12" s="24">
        <v>13.0</v>
      </c>
      <c r="F12" s="24">
        <v>4.0</v>
      </c>
      <c r="G12" s="14">
        <f t="shared" si="1"/>
        <v>17</v>
      </c>
      <c r="H12" s="15">
        <f t="shared" si="2"/>
        <v>0.7647058824</v>
      </c>
      <c r="I12" s="16" t="s">
        <v>31</v>
      </c>
      <c r="J12" s="9" t="s">
        <v>30</v>
      </c>
      <c r="K12" s="9">
        <v>3.11</v>
      </c>
    </row>
    <row r="13">
      <c r="A13" s="10"/>
      <c r="B13" s="11">
        <v>9.0</v>
      </c>
      <c r="C13" s="12" t="s">
        <v>32</v>
      </c>
      <c r="D13" s="12"/>
      <c r="E13" s="24">
        <v>7.0</v>
      </c>
      <c r="F13" s="24">
        <v>7.0</v>
      </c>
      <c r="G13" s="14">
        <f t="shared" si="1"/>
        <v>14</v>
      </c>
      <c r="H13" s="15">
        <f t="shared" si="2"/>
        <v>0.5</v>
      </c>
      <c r="I13" s="16" t="s">
        <v>28</v>
      </c>
    </row>
    <row r="14">
      <c r="A14" s="10"/>
      <c r="B14" s="11">
        <v>10.0</v>
      </c>
      <c r="C14" s="12" t="s">
        <v>26</v>
      </c>
      <c r="D14" s="12"/>
      <c r="E14" s="24">
        <v>12.0</v>
      </c>
      <c r="F14" s="24">
        <v>8.0</v>
      </c>
      <c r="G14" s="14">
        <f t="shared" si="1"/>
        <v>20</v>
      </c>
      <c r="H14" s="20">
        <f t="shared" si="2"/>
        <v>0.6</v>
      </c>
      <c r="I14" s="19" t="s">
        <v>33</v>
      </c>
    </row>
    <row r="15">
      <c r="A15" s="10"/>
      <c r="B15" s="11">
        <v>11.0</v>
      </c>
      <c r="C15" s="12" t="s">
        <v>34</v>
      </c>
      <c r="D15" s="12"/>
      <c r="E15" s="24">
        <v>10.0</v>
      </c>
      <c r="F15" s="24">
        <v>11.0</v>
      </c>
      <c r="G15" s="14">
        <f t="shared" si="1"/>
        <v>21</v>
      </c>
      <c r="H15" s="20">
        <f t="shared" si="2"/>
        <v>0.4761904762</v>
      </c>
      <c r="I15" s="26" t="s">
        <v>35</v>
      </c>
    </row>
    <row r="16">
      <c r="A16" s="10"/>
      <c r="B16" s="11">
        <v>12.0</v>
      </c>
      <c r="C16" s="12" t="s">
        <v>36</v>
      </c>
      <c r="D16" s="12"/>
      <c r="E16" s="24">
        <v>11.0</v>
      </c>
      <c r="F16" s="24">
        <v>7.0</v>
      </c>
      <c r="G16" s="14">
        <f t="shared" si="1"/>
        <v>18</v>
      </c>
      <c r="H16" s="20">
        <f t="shared" si="2"/>
        <v>0.6111111111</v>
      </c>
      <c r="I16" s="19" t="s">
        <v>32</v>
      </c>
    </row>
    <row r="17">
      <c r="A17" s="10"/>
      <c r="B17" s="11">
        <v>13.0</v>
      </c>
      <c r="C17" s="12" t="s">
        <v>20</v>
      </c>
      <c r="D17" s="12"/>
      <c r="E17" s="24">
        <v>3.0</v>
      </c>
      <c r="F17" s="24">
        <v>14.0</v>
      </c>
      <c r="G17" s="14">
        <f t="shared" si="1"/>
        <v>17</v>
      </c>
      <c r="H17" s="20">
        <f t="shared" si="2"/>
        <v>0.1764705882</v>
      </c>
      <c r="I17" s="16" t="s">
        <v>37</v>
      </c>
    </row>
    <row r="18">
      <c r="A18" s="10"/>
      <c r="B18" s="27">
        <v>14.0</v>
      </c>
      <c r="C18" s="12" t="s">
        <v>38</v>
      </c>
      <c r="D18" s="12"/>
      <c r="E18" s="24">
        <v>9.0</v>
      </c>
      <c r="F18" s="24">
        <v>8.0</v>
      </c>
      <c r="G18" s="14">
        <f t="shared" si="1"/>
        <v>17</v>
      </c>
      <c r="H18" s="20">
        <f t="shared" si="2"/>
        <v>0.5294117647</v>
      </c>
      <c r="I18" s="16" t="s">
        <v>39</v>
      </c>
    </row>
    <row r="19">
      <c r="A19" s="17"/>
      <c r="B19" s="27">
        <v>15.0</v>
      </c>
      <c r="C19" s="18" t="s">
        <v>40</v>
      </c>
      <c r="D19" s="18"/>
      <c r="E19" s="24">
        <v>2.0</v>
      </c>
      <c r="F19" s="24">
        <v>12.0</v>
      </c>
      <c r="G19" s="28">
        <v>14.0</v>
      </c>
      <c r="H19" s="20">
        <f t="shared" si="2"/>
        <v>0.1428571429</v>
      </c>
      <c r="I19" s="16" t="s">
        <v>41</v>
      </c>
    </row>
    <row r="22">
      <c r="B22" s="9" t="s">
        <v>42</v>
      </c>
    </row>
    <row r="23">
      <c r="B23" s="29" t="s">
        <v>43</v>
      </c>
      <c r="J23" s="30"/>
    </row>
    <row r="24">
      <c r="B24" s="27" t="s">
        <v>44</v>
      </c>
      <c r="C24" s="31" t="s">
        <v>45</v>
      </c>
      <c r="D24" s="31"/>
      <c r="E24" s="31" t="s">
        <v>46</v>
      </c>
      <c r="F24" s="31" t="s">
        <v>47</v>
      </c>
      <c r="G24" s="31" t="s">
        <v>46</v>
      </c>
      <c r="H24" s="31" t="s">
        <v>48</v>
      </c>
      <c r="I24" s="31" t="s">
        <v>46</v>
      </c>
      <c r="J24" s="31" t="s">
        <v>49</v>
      </c>
      <c r="K24" s="31" t="s">
        <v>46</v>
      </c>
    </row>
    <row r="25">
      <c r="B25" s="32" t="s">
        <v>50</v>
      </c>
      <c r="C25" s="33" t="s">
        <v>51</v>
      </c>
      <c r="D25" s="33"/>
      <c r="E25" s="33" t="s">
        <v>52</v>
      </c>
      <c r="F25" s="33" t="s">
        <v>53</v>
      </c>
      <c r="G25" s="33" t="s">
        <v>54</v>
      </c>
      <c r="H25" s="33" t="s">
        <v>55</v>
      </c>
      <c r="I25" s="33" t="s">
        <v>56</v>
      </c>
      <c r="J25" s="33" t="s">
        <v>57</v>
      </c>
      <c r="K25" s="33" t="s">
        <v>58</v>
      </c>
    </row>
    <row r="26">
      <c r="B26" s="32" t="s">
        <v>59</v>
      </c>
      <c r="C26" s="33" t="s">
        <v>60</v>
      </c>
      <c r="D26" s="33"/>
      <c r="E26" s="33" t="s">
        <v>61</v>
      </c>
      <c r="F26" s="33" t="s">
        <v>62</v>
      </c>
      <c r="G26" s="33" t="s">
        <v>63</v>
      </c>
      <c r="H26" s="33" t="s">
        <v>64</v>
      </c>
      <c r="I26" s="33" t="s">
        <v>65</v>
      </c>
      <c r="J26" s="33" t="s">
        <v>66</v>
      </c>
      <c r="K26" s="33" t="s">
        <v>67</v>
      </c>
    </row>
    <row r="27">
      <c r="B27" s="9" t="s">
        <v>68</v>
      </c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B30" s="34">
        <v>46036.0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B31" s="24" t="s">
        <v>44</v>
      </c>
      <c r="C31" s="35" t="s">
        <v>45</v>
      </c>
      <c r="D31" s="35"/>
      <c r="E31" s="35" t="s">
        <v>46</v>
      </c>
      <c r="F31" s="35" t="s">
        <v>47</v>
      </c>
      <c r="G31" s="35" t="s">
        <v>46</v>
      </c>
      <c r="H31" s="35" t="s">
        <v>48</v>
      </c>
      <c r="I31" s="35" t="s">
        <v>46</v>
      </c>
      <c r="J31" s="35" t="s">
        <v>49</v>
      </c>
      <c r="K31" s="35" t="s">
        <v>46</v>
      </c>
      <c r="L31" s="3"/>
    </row>
    <row r="32">
      <c r="B32" s="36" t="s">
        <v>50</v>
      </c>
      <c r="C32" s="37" t="s">
        <v>69</v>
      </c>
      <c r="D32" s="37"/>
      <c r="E32" s="37" t="s">
        <v>70</v>
      </c>
      <c r="F32" s="37" t="s">
        <v>71</v>
      </c>
      <c r="G32" s="37" t="s">
        <v>72</v>
      </c>
      <c r="H32" s="37" t="s">
        <v>73</v>
      </c>
      <c r="I32" s="37" t="s">
        <v>74</v>
      </c>
      <c r="J32" s="37" t="s">
        <v>75</v>
      </c>
      <c r="K32" s="37" t="s">
        <v>76</v>
      </c>
      <c r="L32" s="3"/>
    </row>
    <row r="33">
      <c r="B33" s="36" t="s">
        <v>59</v>
      </c>
      <c r="C33" s="37" t="s">
        <v>77</v>
      </c>
      <c r="D33" s="37"/>
      <c r="E33" s="37" t="s">
        <v>78</v>
      </c>
      <c r="F33" s="37" t="s">
        <v>79</v>
      </c>
      <c r="G33" s="37" t="s">
        <v>80</v>
      </c>
      <c r="H33" s="37" t="s">
        <v>81</v>
      </c>
      <c r="I33" s="37" t="s">
        <v>82</v>
      </c>
      <c r="J33" s="37" t="s">
        <v>83</v>
      </c>
      <c r="K33" s="37" t="s">
        <v>84</v>
      </c>
      <c r="L33" s="6"/>
    </row>
    <row r="34">
      <c r="B34" s="6" t="s">
        <v>68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B36" s="3"/>
      <c r="C36" s="3"/>
      <c r="D36" s="3"/>
      <c r="E36" s="3"/>
      <c r="F36" s="3"/>
      <c r="G36" s="3"/>
      <c r="I36" s="3"/>
      <c r="J36" s="3"/>
      <c r="K36" s="3"/>
      <c r="L36" s="3"/>
    </row>
    <row r="37">
      <c r="B37" s="34">
        <v>46043.0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B38" s="24" t="s">
        <v>44</v>
      </c>
      <c r="C38" s="35" t="s">
        <v>45</v>
      </c>
      <c r="D38" s="35"/>
      <c r="E38" s="35" t="s">
        <v>46</v>
      </c>
      <c r="F38" s="35" t="s">
        <v>47</v>
      </c>
      <c r="G38" s="35" t="s">
        <v>46</v>
      </c>
      <c r="H38" s="35" t="s">
        <v>48</v>
      </c>
      <c r="I38" s="35" t="s">
        <v>46</v>
      </c>
      <c r="J38" s="35" t="s">
        <v>49</v>
      </c>
      <c r="K38" s="35" t="s">
        <v>46</v>
      </c>
      <c r="L38" s="3"/>
    </row>
    <row r="39">
      <c r="B39" s="36" t="s">
        <v>50</v>
      </c>
      <c r="C39" s="37" t="s">
        <v>85</v>
      </c>
      <c r="D39" s="37"/>
      <c r="E39" s="37" t="s">
        <v>86</v>
      </c>
      <c r="F39" s="37" t="s">
        <v>87</v>
      </c>
      <c r="G39" s="37" t="s">
        <v>88</v>
      </c>
      <c r="H39" s="37" t="s">
        <v>89</v>
      </c>
      <c r="I39" s="37" t="s">
        <v>90</v>
      </c>
      <c r="J39" s="37" t="s">
        <v>91</v>
      </c>
      <c r="K39" s="37" t="s">
        <v>92</v>
      </c>
      <c r="L39" s="6"/>
    </row>
    <row r="40">
      <c r="B40" s="36" t="s">
        <v>59</v>
      </c>
      <c r="C40" s="37" t="s">
        <v>93</v>
      </c>
      <c r="D40" s="37"/>
      <c r="E40" s="37" t="s">
        <v>94</v>
      </c>
      <c r="F40" s="37" t="s">
        <v>95</v>
      </c>
      <c r="G40" s="37" t="s">
        <v>96</v>
      </c>
      <c r="H40" s="37" t="s">
        <v>97</v>
      </c>
      <c r="I40" s="37" t="s">
        <v>98</v>
      </c>
      <c r="J40" s="37" t="s">
        <v>99</v>
      </c>
      <c r="K40" s="37" t="s">
        <v>100</v>
      </c>
      <c r="L40" s="3"/>
    </row>
    <row r="41">
      <c r="B41" s="6" t="s">
        <v>68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B43" s="34">
        <v>46050.0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B44" s="24" t="s">
        <v>44</v>
      </c>
      <c r="C44" s="35" t="s">
        <v>45</v>
      </c>
      <c r="D44" s="35"/>
      <c r="E44" s="35" t="s">
        <v>46</v>
      </c>
      <c r="F44" s="35" t="s">
        <v>47</v>
      </c>
      <c r="G44" s="35" t="s">
        <v>46</v>
      </c>
      <c r="H44" s="35" t="s">
        <v>48</v>
      </c>
      <c r="I44" s="35" t="s">
        <v>46</v>
      </c>
      <c r="J44" s="35" t="s">
        <v>49</v>
      </c>
      <c r="K44" s="35" t="s">
        <v>46</v>
      </c>
      <c r="L44" s="3"/>
    </row>
    <row r="45">
      <c r="B45" s="36" t="s">
        <v>50</v>
      </c>
      <c r="C45" s="37" t="s">
        <v>101</v>
      </c>
      <c r="D45" s="37"/>
      <c r="E45" s="37" t="s">
        <v>102</v>
      </c>
      <c r="F45" s="37" t="s">
        <v>103</v>
      </c>
      <c r="G45" s="37" t="s">
        <v>104</v>
      </c>
      <c r="H45" s="37" t="s">
        <v>105</v>
      </c>
      <c r="I45" s="37" t="s">
        <v>106</v>
      </c>
      <c r="J45" s="37" t="s">
        <v>107</v>
      </c>
      <c r="K45" s="37" t="s">
        <v>108</v>
      </c>
      <c r="L45" s="6"/>
    </row>
    <row r="46">
      <c r="B46" s="36" t="s">
        <v>59</v>
      </c>
      <c r="C46" s="37" t="s">
        <v>109</v>
      </c>
      <c r="D46" s="37"/>
      <c r="E46" s="37" t="s">
        <v>110</v>
      </c>
      <c r="F46" s="37" t="s">
        <v>111</v>
      </c>
      <c r="G46" s="37" t="s">
        <v>112</v>
      </c>
      <c r="H46" s="37" t="s">
        <v>113</v>
      </c>
      <c r="I46" s="37" t="s">
        <v>114</v>
      </c>
      <c r="J46" s="37" t="s">
        <v>115</v>
      </c>
      <c r="K46" s="37" t="s">
        <v>116</v>
      </c>
      <c r="L46" s="3"/>
    </row>
    <row r="47">
      <c r="B47" s="6" t="s">
        <v>68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B49" s="38">
        <v>46064.0</v>
      </c>
      <c r="C49" s="39"/>
      <c r="D49" s="39"/>
      <c r="E49" s="39"/>
      <c r="F49" s="39"/>
      <c r="G49" s="39"/>
      <c r="H49" s="3"/>
      <c r="I49" s="3"/>
      <c r="J49" s="3"/>
      <c r="K49" s="3"/>
      <c r="L49" s="3"/>
    </row>
    <row r="50">
      <c r="B50" s="40" t="s">
        <v>44</v>
      </c>
      <c r="C50" s="35" t="s">
        <v>45</v>
      </c>
      <c r="D50" s="35"/>
      <c r="E50" s="35" t="s">
        <v>46</v>
      </c>
      <c r="F50" s="35" t="s">
        <v>47</v>
      </c>
      <c r="G50" s="35" t="s">
        <v>46</v>
      </c>
      <c r="H50" s="35" t="s">
        <v>48</v>
      </c>
      <c r="I50" s="35" t="s">
        <v>46</v>
      </c>
      <c r="J50" s="35" t="s">
        <v>49</v>
      </c>
      <c r="K50" s="35" t="s">
        <v>46</v>
      </c>
      <c r="L50" s="3"/>
    </row>
    <row r="51">
      <c r="B51" s="41" t="s">
        <v>50</v>
      </c>
      <c r="C51" s="37" t="s">
        <v>117</v>
      </c>
      <c r="D51" s="37"/>
      <c r="E51" s="37" t="s">
        <v>118</v>
      </c>
      <c r="F51" s="37" t="s">
        <v>119</v>
      </c>
      <c r="G51" s="37" t="s">
        <v>120</v>
      </c>
      <c r="H51" s="37" t="s">
        <v>121</v>
      </c>
      <c r="I51" s="37" t="s">
        <v>122</v>
      </c>
      <c r="J51" s="37" t="s">
        <v>123</v>
      </c>
      <c r="K51" s="37" t="s">
        <v>124</v>
      </c>
      <c r="L51" s="6"/>
    </row>
    <row r="52">
      <c r="B52" s="41" t="s">
        <v>59</v>
      </c>
      <c r="C52" s="37" t="s">
        <v>125</v>
      </c>
      <c r="D52" s="37"/>
      <c r="E52" s="37" t="s">
        <v>126</v>
      </c>
      <c r="F52" s="37" t="s">
        <v>127</v>
      </c>
      <c r="G52" s="37" t="s">
        <v>128</v>
      </c>
      <c r="H52" s="37" t="s">
        <v>129</v>
      </c>
      <c r="I52" s="37" t="s">
        <v>130</v>
      </c>
      <c r="J52" s="37" t="s">
        <v>131</v>
      </c>
      <c r="K52" s="37" t="s">
        <v>132</v>
      </c>
      <c r="L52" s="3"/>
    </row>
    <row r="53">
      <c r="B53" s="6" t="s">
        <v>68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B55" s="38">
        <v>46071.0</v>
      </c>
      <c r="C55" s="39"/>
      <c r="D55" s="39"/>
      <c r="E55" s="39"/>
      <c r="F55" s="39"/>
      <c r="G55" s="39"/>
      <c r="H55" s="3"/>
      <c r="I55" s="3"/>
      <c r="J55" s="3"/>
      <c r="K55" s="3"/>
      <c r="L55" s="3"/>
    </row>
    <row r="56">
      <c r="B56" s="40" t="s">
        <v>44</v>
      </c>
      <c r="C56" s="35" t="s">
        <v>45</v>
      </c>
      <c r="D56" s="35"/>
      <c r="E56" s="35" t="s">
        <v>46</v>
      </c>
      <c r="F56" s="35" t="s">
        <v>47</v>
      </c>
      <c r="G56" s="35" t="s">
        <v>46</v>
      </c>
      <c r="H56" s="35" t="s">
        <v>48</v>
      </c>
      <c r="I56" s="35" t="s">
        <v>46</v>
      </c>
      <c r="J56" s="35" t="s">
        <v>49</v>
      </c>
      <c r="K56" s="35" t="s">
        <v>46</v>
      </c>
      <c r="L56" s="6"/>
    </row>
    <row r="57">
      <c r="B57" s="41" t="s">
        <v>50</v>
      </c>
      <c r="C57" s="37" t="s">
        <v>133</v>
      </c>
      <c r="D57" s="37"/>
      <c r="E57" s="37" t="s">
        <v>134</v>
      </c>
      <c r="F57" s="37" t="s">
        <v>135</v>
      </c>
      <c r="G57" s="37" t="s">
        <v>136</v>
      </c>
      <c r="H57" s="37" t="s">
        <v>137</v>
      </c>
      <c r="I57" s="37" t="s">
        <v>138</v>
      </c>
      <c r="J57" s="37" t="s">
        <v>139</v>
      </c>
      <c r="K57" s="37" t="s">
        <v>140</v>
      </c>
      <c r="L57" s="3"/>
    </row>
    <row r="58">
      <c r="B58" s="41" t="s">
        <v>59</v>
      </c>
      <c r="C58" s="37" t="s">
        <v>141</v>
      </c>
      <c r="D58" s="37"/>
      <c r="E58" s="37" t="s">
        <v>142</v>
      </c>
      <c r="F58" s="35" t="s">
        <v>143</v>
      </c>
      <c r="G58" s="42" t="s">
        <v>144</v>
      </c>
      <c r="H58" s="37" t="s">
        <v>145</v>
      </c>
      <c r="I58" s="37" t="s">
        <v>146</v>
      </c>
      <c r="J58" s="37" t="s">
        <v>147</v>
      </c>
      <c r="K58" s="37" t="s">
        <v>148</v>
      </c>
      <c r="L58" s="3"/>
    </row>
    <row r="59">
      <c r="B59" s="6" t="s">
        <v>68</v>
      </c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B60" s="3"/>
      <c r="C60" s="6"/>
      <c r="D60" s="6"/>
      <c r="E60" s="6"/>
      <c r="F60" s="3"/>
      <c r="G60" s="3"/>
      <c r="H60" s="3"/>
      <c r="I60" s="3"/>
      <c r="J60" s="3"/>
      <c r="K60" s="3"/>
      <c r="L60" s="3"/>
    </row>
    <row r="61">
      <c r="B61" s="38">
        <v>46078.0</v>
      </c>
      <c r="C61" s="39"/>
      <c r="D61" s="39"/>
      <c r="E61" s="39"/>
      <c r="F61" s="39"/>
      <c r="G61" s="39"/>
      <c r="H61" s="3"/>
      <c r="I61" s="3"/>
      <c r="J61" s="3"/>
      <c r="K61" s="3"/>
      <c r="L61" s="3"/>
    </row>
    <row r="62">
      <c r="B62" s="40" t="s">
        <v>44</v>
      </c>
      <c r="C62" s="35" t="s">
        <v>45</v>
      </c>
      <c r="D62" s="35"/>
      <c r="E62" s="35" t="s">
        <v>46</v>
      </c>
      <c r="F62" s="35" t="s">
        <v>47</v>
      </c>
      <c r="G62" s="35" t="s">
        <v>46</v>
      </c>
      <c r="H62" s="35" t="s">
        <v>48</v>
      </c>
      <c r="I62" s="35" t="s">
        <v>46</v>
      </c>
      <c r="J62" s="35" t="s">
        <v>49</v>
      </c>
      <c r="K62" s="35" t="s">
        <v>46</v>
      </c>
      <c r="L62" s="3"/>
    </row>
    <row r="63">
      <c r="B63" s="41" t="s">
        <v>50</v>
      </c>
      <c r="C63" s="37" t="s">
        <v>149</v>
      </c>
      <c r="D63" s="37"/>
      <c r="E63" s="37" t="s">
        <v>150</v>
      </c>
      <c r="F63" s="37" t="s">
        <v>151</v>
      </c>
      <c r="G63" s="37" t="s">
        <v>152</v>
      </c>
      <c r="H63" s="37" t="s">
        <v>153</v>
      </c>
      <c r="I63" s="31" t="s">
        <v>154</v>
      </c>
      <c r="J63" s="37" t="s">
        <v>155</v>
      </c>
      <c r="K63" s="37" t="s">
        <v>156</v>
      </c>
      <c r="L63" s="6"/>
    </row>
    <row r="64">
      <c r="B64" s="41" t="s">
        <v>59</v>
      </c>
      <c r="C64" s="37" t="s">
        <v>157</v>
      </c>
      <c r="D64" s="37"/>
      <c r="E64" s="37" t="s">
        <v>158</v>
      </c>
      <c r="F64" s="37" t="s">
        <v>159</v>
      </c>
      <c r="G64" s="37" t="s">
        <v>160</v>
      </c>
      <c r="H64" s="37" t="s">
        <v>161</v>
      </c>
      <c r="I64" s="37" t="s">
        <v>162</v>
      </c>
      <c r="J64" s="37" t="s">
        <v>163</v>
      </c>
      <c r="K64" s="37" t="s">
        <v>164</v>
      </c>
      <c r="L64" s="3"/>
    </row>
    <row r="65">
      <c r="B65" s="6" t="s">
        <v>68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K67" s="9" t="s">
        <v>165</v>
      </c>
    </row>
    <row r="68">
      <c r="B68" s="43" t="s">
        <v>166</v>
      </c>
      <c r="C68" s="44" t="s">
        <v>167</v>
      </c>
      <c r="D68" s="44"/>
      <c r="K68" s="40" t="s">
        <v>44</v>
      </c>
      <c r="L68" s="35" t="s">
        <v>45</v>
      </c>
      <c r="M68" s="35" t="s">
        <v>47</v>
      </c>
      <c r="N68" s="35" t="s">
        <v>48</v>
      </c>
      <c r="O68" s="45" t="s">
        <v>49</v>
      </c>
    </row>
    <row r="69">
      <c r="K69" s="40" t="s">
        <v>50</v>
      </c>
      <c r="L69" s="35" t="s">
        <v>168</v>
      </c>
      <c r="M69" s="35" t="s">
        <v>169</v>
      </c>
      <c r="N69" s="46" t="s">
        <v>170</v>
      </c>
      <c r="O69" s="31" t="s">
        <v>171</v>
      </c>
    </row>
    <row r="70">
      <c r="B70" s="47" t="s">
        <v>172</v>
      </c>
      <c r="C70" s="48"/>
      <c r="D70" s="48"/>
      <c r="E70" s="48"/>
      <c r="F70" s="48"/>
      <c r="G70" s="48"/>
      <c r="H70" s="48"/>
      <c r="I70" s="49" t="s">
        <v>173</v>
      </c>
      <c r="K70" s="40" t="s">
        <v>59</v>
      </c>
      <c r="L70" s="35" t="s">
        <v>174</v>
      </c>
      <c r="M70" s="35" t="s">
        <v>175</v>
      </c>
      <c r="N70" s="35" t="s">
        <v>176</v>
      </c>
      <c r="O70" s="50" t="s">
        <v>177</v>
      </c>
    </row>
    <row r="71">
      <c r="B71" s="51"/>
      <c r="C71" s="48"/>
      <c r="D71" s="48"/>
      <c r="E71" s="48"/>
      <c r="F71" s="48"/>
      <c r="G71" s="48"/>
      <c r="H71" s="48"/>
      <c r="I71" s="52"/>
    </row>
    <row r="72">
      <c r="B72" s="53"/>
      <c r="C72" s="48"/>
      <c r="D72" s="48"/>
      <c r="E72" s="48"/>
      <c r="F72" s="48"/>
      <c r="G72" s="48"/>
      <c r="H72" s="48"/>
      <c r="I72" s="54">
        <v>46085.0</v>
      </c>
    </row>
    <row r="73">
      <c r="B73" s="55">
        <v>46085.0</v>
      </c>
      <c r="C73" s="48"/>
      <c r="D73" s="48"/>
      <c r="E73" s="48"/>
      <c r="F73" s="48"/>
      <c r="G73" s="48"/>
      <c r="H73" s="48"/>
      <c r="I73" s="56" t="s">
        <v>178</v>
      </c>
      <c r="K73" s="40" t="s">
        <v>44</v>
      </c>
      <c r="L73" s="35" t="s">
        <v>45</v>
      </c>
      <c r="M73" s="35" t="s">
        <v>47</v>
      </c>
      <c r="N73" s="35" t="s">
        <v>48</v>
      </c>
      <c r="O73" s="35" t="s">
        <v>49</v>
      </c>
    </row>
    <row r="74">
      <c r="B74" s="57" t="s">
        <v>179</v>
      </c>
      <c r="C74" s="49" t="s">
        <v>19</v>
      </c>
      <c r="D74" s="58"/>
      <c r="E74" s="48"/>
      <c r="F74" s="48"/>
      <c r="G74" s="48"/>
      <c r="H74" s="49" t="s">
        <v>180</v>
      </c>
      <c r="I74" s="59" t="s">
        <v>181</v>
      </c>
      <c r="K74" s="40" t="s">
        <v>50</v>
      </c>
      <c r="L74" s="35" t="s">
        <v>182</v>
      </c>
      <c r="M74" s="35" t="s">
        <v>183</v>
      </c>
      <c r="N74" s="35" t="s">
        <v>184</v>
      </c>
      <c r="O74" s="35" t="s">
        <v>185</v>
      </c>
    </row>
    <row r="75">
      <c r="B75" s="60">
        <v>0.8333333333333334</v>
      </c>
      <c r="C75" s="51"/>
      <c r="D75" s="48"/>
      <c r="E75" s="48"/>
      <c r="F75" s="48"/>
      <c r="G75" s="48"/>
      <c r="H75" s="52"/>
      <c r="I75" s="61">
        <v>0.8333333333333334</v>
      </c>
      <c r="K75" s="40" t="s">
        <v>59</v>
      </c>
      <c r="L75" s="35" t="s">
        <v>186</v>
      </c>
      <c r="M75" s="62" t="s">
        <v>187</v>
      </c>
      <c r="N75" s="35" t="s">
        <v>188</v>
      </c>
      <c r="O75" s="35" t="s">
        <v>189</v>
      </c>
    </row>
    <row r="76">
      <c r="B76" s="53" t="s">
        <v>190</v>
      </c>
      <c r="C76" s="53"/>
      <c r="D76" s="58"/>
      <c r="E76" s="48"/>
      <c r="F76" s="48"/>
      <c r="G76" s="48"/>
      <c r="H76" s="52"/>
      <c r="I76" s="52"/>
    </row>
    <row r="77">
      <c r="B77" s="63"/>
      <c r="C77" s="51"/>
      <c r="D77" s="48"/>
      <c r="E77" s="48"/>
      <c r="F77" s="48"/>
      <c r="G77" s="48"/>
      <c r="H77" s="52"/>
      <c r="I77" s="64"/>
      <c r="K77" s="9" t="s">
        <v>191</v>
      </c>
    </row>
    <row r="78">
      <c r="B78" s="65" t="s">
        <v>192</v>
      </c>
      <c r="C78" s="66">
        <v>46092.0</v>
      </c>
      <c r="D78" s="67"/>
      <c r="E78" s="48"/>
      <c r="G78" s="48"/>
      <c r="H78" s="52"/>
      <c r="I78" s="68" t="s">
        <v>193</v>
      </c>
    </row>
    <row r="79">
      <c r="B79" s="48"/>
      <c r="C79" s="69"/>
      <c r="D79" s="70"/>
      <c r="E79" s="48"/>
      <c r="F79" s="71" t="s">
        <v>14</v>
      </c>
      <c r="G79" s="48"/>
      <c r="H79" s="52"/>
      <c r="I79" s="48"/>
    </row>
    <row r="80">
      <c r="B80" s="48"/>
      <c r="C80" s="72">
        <v>0.8333333333333334</v>
      </c>
      <c r="D80" s="73"/>
      <c r="E80" s="48"/>
      <c r="F80" s="4" t="s">
        <v>190</v>
      </c>
      <c r="G80" s="48"/>
      <c r="H80" s="74">
        <v>46092.0</v>
      </c>
      <c r="I80" s="48"/>
    </row>
    <row r="81">
      <c r="B81" s="48"/>
      <c r="C81" s="75" t="s">
        <v>194</v>
      </c>
      <c r="D81" s="76"/>
      <c r="E81" s="77" t="s">
        <v>195</v>
      </c>
      <c r="F81" s="78" t="s">
        <v>196</v>
      </c>
      <c r="G81" s="71" t="s">
        <v>14</v>
      </c>
      <c r="H81" s="79" t="s">
        <v>197</v>
      </c>
      <c r="I81" s="48"/>
    </row>
    <row r="82">
      <c r="B82" s="48"/>
      <c r="C82" s="53" t="s">
        <v>198</v>
      </c>
      <c r="D82" s="58"/>
      <c r="E82" s="48"/>
      <c r="F82" s="80" t="s">
        <v>199</v>
      </c>
      <c r="G82" s="48"/>
      <c r="H82" s="61">
        <v>0.8333333333333334</v>
      </c>
      <c r="I82" s="48"/>
    </row>
    <row r="83">
      <c r="B83" s="48"/>
      <c r="C83" s="51"/>
      <c r="D83" s="48"/>
      <c r="E83" s="48"/>
      <c r="F83" s="81">
        <v>0.375</v>
      </c>
      <c r="G83" s="48"/>
      <c r="H83" s="82" t="s">
        <v>190</v>
      </c>
      <c r="I83" s="48"/>
    </row>
    <row r="84">
      <c r="B84" s="49" t="s">
        <v>200</v>
      </c>
      <c r="C84" s="51"/>
      <c r="D84" s="48"/>
      <c r="E84" s="48"/>
      <c r="F84" s="67">
        <v>46092.0</v>
      </c>
      <c r="G84" s="48"/>
      <c r="H84" s="74"/>
      <c r="I84" s="83" t="s">
        <v>201</v>
      </c>
    </row>
    <row r="85">
      <c r="B85" s="51"/>
      <c r="C85" s="51"/>
      <c r="D85" s="48"/>
      <c r="E85" s="48"/>
      <c r="F85" s="84"/>
      <c r="G85" s="48"/>
      <c r="H85" s="85"/>
      <c r="I85" s="52"/>
    </row>
    <row r="86">
      <c r="B86" s="53"/>
      <c r="C86" s="51"/>
      <c r="D86" s="48"/>
      <c r="E86" s="48"/>
      <c r="F86" s="48"/>
      <c r="G86" s="48"/>
      <c r="H86" s="52"/>
      <c r="I86" s="52"/>
    </row>
    <row r="87">
      <c r="B87" s="55">
        <v>46085.0</v>
      </c>
      <c r="C87" s="51"/>
      <c r="D87" s="48"/>
      <c r="E87" s="48"/>
      <c r="F87" s="48"/>
      <c r="G87" s="48"/>
      <c r="H87" s="52"/>
      <c r="I87" s="54">
        <v>46085.0</v>
      </c>
    </row>
    <row r="88">
      <c r="B88" s="57" t="s">
        <v>202</v>
      </c>
      <c r="C88" s="86"/>
      <c r="D88" s="58"/>
      <c r="E88" s="48"/>
      <c r="F88" s="48"/>
      <c r="G88" s="48"/>
      <c r="H88" s="64"/>
      <c r="I88" s="56" t="s">
        <v>203</v>
      </c>
    </row>
    <row r="89">
      <c r="B89" s="60">
        <v>0.8333333333333334</v>
      </c>
      <c r="C89" s="68" t="s">
        <v>204</v>
      </c>
      <c r="D89" s="48"/>
      <c r="E89" s="48"/>
      <c r="F89" s="48"/>
      <c r="G89" s="48"/>
      <c r="H89" s="58" t="s">
        <v>36</v>
      </c>
      <c r="I89" s="61">
        <v>0.875</v>
      </c>
    </row>
    <row r="90">
      <c r="B90" s="53" t="s">
        <v>198</v>
      </c>
      <c r="C90" s="48"/>
      <c r="D90" s="48"/>
      <c r="E90" s="48"/>
      <c r="F90" s="48"/>
      <c r="G90" s="48"/>
      <c r="H90" s="48"/>
      <c r="I90" s="59" t="s">
        <v>205</v>
      </c>
    </row>
    <row r="91">
      <c r="B91" s="63"/>
      <c r="C91" s="48"/>
      <c r="D91" s="48"/>
      <c r="E91" s="48"/>
      <c r="F91" s="48"/>
      <c r="G91" s="48"/>
      <c r="H91" s="48"/>
      <c r="I91" s="64"/>
    </row>
    <row r="92">
      <c r="B92" s="68" t="s">
        <v>206</v>
      </c>
      <c r="C92" s="48"/>
      <c r="D92" s="48"/>
      <c r="E92" s="48"/>
      <c r="F92" s="48"/>
      <c r="G92" s="48"/>
      <c r="H92" s="48"/>
      <c r="I92" s="58" t="s">
        <v>207</v>
      </c>
    </row>
    <row r="93">
      <c r="B93" s="48"/>
      <c r="C93" s="48"/>
      <c r="D93" s="48"/>
      <c r="E93" s="48"/>
      <c r="F93" s="48"/>
      <c r="G93" s="48"/>
      <c r="H93" s="48"/>
      <c r="I93" s="48"/>
    </row>
    <row r="96">
      <c r="B96" s="87" t="s">
        <v>208</v>
      </c>
      <c r="C96" s="88" t="s">
        <v>209</v>
      </c>
      <c r="D96" s="88"/>
    </row>
    <row r="100">
      <c r="C100" s="89" t="s">
        <v>210</v>
      </c>
      <c r="D100" s="9"/>
    </row>
    <row r="101">
      <c r="C101" s="90"/>
    </row>
    <row r="102">
      <c r="C102" s="91">
        <v>46085.875</v>
      </c>
      <c r="D102" s="92"/>
    </row>
    <row r="103">
      <c r="C103" s="93" t="s">
        <v>202</v>
      </c>
      <c r="D103" s="9"/>
    </row>
    <row r="104">
      <c r="B104" s="94" t="s">
        <v>211</v>
      </c>
      <c r="C104" s="93" t="s">
        <v>190</v>
      </c>
      <c r="D104" s="9"/>
      <c r="E104" s="95"/>
      <c r="F104" s="96" t="s">
        <v>34</v>
      </c>
    </row>
    <row r="105">
      <c r="B105" s="90"/>
      <c r="C105" s="90"/>
      <c r="F105" s="90"/>
    </row>
    <row r="106">
      <c r="B106" s="97">
        <v>46085.0</v>
      </c>
      <c r="C106" s="90"/>
      <c r="F106" s="90"/>
    </row>
    <row r="107">
      <c r="B107" s="93" t="s">
        <v>179</v>
      </c>
      <c r="C107" s="98"/>
      <c r="F107" s="90"/>
    </row>
    <row r="108">
      <c r="B108" s="93" t="s">
        <v>212</v>
      </c>
      <c r="C108" s="99" t="s">
        <v>213</v>
      </c>
      <c r="F108" s="90"/>
    </row>
    <row r="109">
      <c r="B109" s="100">
        <v>0.8333333333333334</v>
      </c>
      <c r="F109" s="90"/>
    </row>
    <row r="110">
      <c r="B110" s="98"/>
      <c r="F110" s="90"/>
    </row>
    <row r="111">
      <c r="B111" s="9" t="s">
        <v>214</v>
      </c>
      <c r="F111" s="91">
        <v>46092.875</v>
      </c>
    </row>
    <row r="112">
      <c r="F112" s="101" t="s">
        <v>194</v>
      </c>
    </row>
    <row r="113">
      <c r="C113" s="83" t="s">
        <v>215</v>
      </c>
      <c r="D113" s="58"/>
      <c r="E113" s="48"/>
      <c r="F113" s="53" t="s">
        <v>216</v>
      </c>
      <c r="G113" s="96" t="s">
        <v>34</v>
      </c>
    </row>
    <row r="114">
      <c r="C114" s="51"/>
      <c r="D114" s="48"/>
      <c r="E114" s="48"/>
      <c r="F114" s="51"/>
    </row>
    <row r="115">
      <c r="C115" s="53"/>
      <c r="D115" s="58"/>
      <c r="E115" s="48"/>
      <c r="F115" s="51"/>
    </row>
    <row r="116">
      <c r="C116" s="102">
        <v>46085.875</v>
      </c>
      <c r="D116" s="103"/>
      <c r="E116" s="48"/>
      <c r="F116" s="51"/>
    </row>
    <row r="117">
      <c r="C117" s="53" t="s">
        <v>178</v>
      </c>
      <c r="D117" s="58"/>
      <c r="E117" s="49" t="s">
        <v>217</v>
      </c>
      <c r="F117" s="51"/>
    </row>
    <row r="118">
      <c r="C118" s="53" t="s">
        <v>198</v>
      </c>
      <c r="D118" s="53"/>
      <c r="E118" s="51"/>
      <c r="F118" s="51"/>
    </row>
    <row r="119">
      <c r="C119" s="53"/>
      <c r="D119" s="53"/>
      <c r="E119" s="53"/>
      <c r="F119" s="51"/>
    </row>
    <row r="120">
      <c r="C120" s="63"/>
      <c r="D120" s="51"/>
      <c r="E120" s="51"/>
      <c r="F120" s="51"/>
    </row>
    <row r="121">
      <c r="C121" s="104" t="s">
        <v>218</v>
      </c>
      <c r="D121" s="104"/>
      <c r="E121" s="105"/>
      <c r="F121" s="51"/>
    </row>
    <row r="122">
      <c r="C122" s="48"/>
      <c r="D122" s="48"/>
      <c r="E122" s="69"/>
      <c r="F122" s="51"/>
    </row>
    <row r="123">
      <c r="C123" s="48"/>
      <c r="D123" s="48"/>
      <c r="E123" s="106">
        <v>46092.833333333336</v>
      </c>
      <c r="F123" s="51"/>
    </row>
    <row r="124">
      <c r="C124" s="48"/>
      <c r="D124" s="48"/>
      <c r="E124" s="75" t="s">
        <v>197</v>
      </c>
      <c r="F124" s="49" t="s">
        <v>217</v>
      </c>
    </row>
    <row r="125">
      <c r="C125" s="48"/>
      <c r="D125" s="48"/>
      <c r="E125" s="53" t="s">
        <v>216</v>
      </c>
      <c r="F125" s="48"/>
    </row>
    <row r="126">
      <c r="C126" s="48"/>
      <c r="D126" s="48"/>
      <c r="E126" s="51"/>
      <c r="F126" s="48"/>
    </row>
    <row r="127">
      <c r="C127" s="49" t="s">
        <v>219</v>
      </c>
      <c r="D127" s="58"/>
      <c r="E127" s="51"/>
      <c r="F127" s="48"/>
    </row>
    <row r="128">
      <c r="C128" s="51"/>
      <c r="D128" s="51"/>
      <c r="E128" s="51"/>
      <c r="F128" s="48"/>
    </row>
    <row r="129">
      <c r="C129" s="53"/>
      <c r="D129" s="53"/>
      <c r="E129" s="51"/>
      <c r="F129" s="48"/>
    </row>
    <row r="130">
      <c r="C130" s="102">
        <v>46085.875</v>
      </c>
      <c r="D130" s="102"/>
      <c r="E130" s="51"/>
      <c r="F130" s="48"/>
    </row>
    <row r="131">
      <c r="C131" s="53" t="s">
        <v>203</v>
      </c>
      <c r="D131" s="53"/>
      <c r="E131" s="86"/>
      <c r="F131" s="48"/>
    </row>
    <row r="132">
      <c r="C132" s="53" t="s">
        <v>216</v>
      </c>
      <c r="D132" s="58"/>
      <c r="E132" s="58" t="s">
        <v>220</v>
      </c>
      <c r="F132" s="48"/>
    </row>
    <row r="133">
      <c r="C133" s="51"/>
      <c r="D133" s="48"/>
      <c r="E133" s="48"/>
      <c r="F133" s="48"/>
    </row>
    <row r="134">
      <c r="C134" s="63"/>
      <c r="D134" s="48"/>
      <c r="E134" s="48"/>
      <c r="F134" s="48"/>
    </row>
    <row r="135">
      <c r="C135" s="68" t="s">
        <v>221</v>
      </c>
      <c r="D135" s="58"/>
      <c r="E135" s="48"/>
      <c r="F135" s="48"/>
    </row>
    <row r="139">
      <c r="B139" s="49" t="s">
        <v>222</v>
      </c>
      <c r="C139" s="48"/>
      <c r="D139" s="48"/>
    </row>
    <row r="140">
      <c r="B140" s="53" t="s">
        <v>223</v>
      </c>
      <c r="C140" s="48"/>
      <c r="D140" s="48"/>
    </row>
    <row r="141">
      <c r="B141" s="53"/>
      <c r="C141" s="48"/>
      <c r="D141" s="48"/>
    </row>
    <row r="142">
      <c r="B142" s="107">
        <v>46092.0</v>
      </c>
      <c r="C142" s="48"/>
      <c r="D142" s="48"/>
    </row>
    <row r="143">
      <c r="B143" s="108" t="s">
        <v>199</v>
      </c>
      <c r="C143" s="49" t="s">
        <v>20</v>
      </c>
      <c r="D143" s="58"/>
    </row>
    <row r="144">
      <c r="B144" s="53" t="s">
        <v>224</v>
      </c>
      <c r="C144" s="48"/>
      <c r="D144" s="48"/>
    </row>
    <row r="145">
      <c r="B145" s="86" t="s">
        <v>28</v>
      </c>
      <c r="C145" s="58"/>
      <c r="D145" s="58"/>
    </row>
    <row r="146">
      <c r="C146" s="48"/>
      <c r="D146" s="48"/>
    </row>
    <row r="147">
      <c r="B147" s="104" t="s">
        <v>225</v>
      </c>
      <c r="C147" s="84"/>
      <c r="D147" s="84"/>
    </row>
    <row r="148">
      <c r="B148" s="48"/>
      <c r="C148" s="70"/>
      <c r="D148" s="70"/>
    </row>
    <row r="149">
      <c r="B149" s="48"/>
      <c r="C149" s="67"/>
      <c r="D149" s="67"/>
    </row>
    <row r="150">
      <c r="B150" s="48"/>
      <c r="C150" s="76"/>
      <c r="D150" s="76"/>
    </row>
    <row r="151">
      <c r="B151" s="48"/>
      <c r="C151" s="48"/>
      <c r="D151" s="48"/>
    </row>
    <row r="152">
      <c r="B152" s="48"/>
      <c r="C152" s="48"/>
      <c r="D152" s="48"/>
    </row>
    <row r="153">
      <c r="B153" s="49" t="s">
        <v>226</v>
      </c>
      <c r="C153" s="48"/>
      <c r="D153" s="48"/>
    </row>
    <row r="154">
      <c r="B154" s="53" t="s">
        <v>213</v>
      </c>
      <c r="C154" s="48"/>
      <c r="D154" s="48"/>
    </row>
    <row r="155">
      <c r="B155" s="53"/>
      <c r="C155" s="48"/>
      <c r="D155" s="48"/>
    </row>
    <row r="156">
      <c r="B156" s="107">
        <v>46092.0</v>
      </c>
      <c r="C156" s="48"/>
      <c r="D156" s="48"/>
    </row>
    <row r="157">
      <c r="B157" s="108" t="s">
        <v>227</v>
      </c>
      <c r="C157" s="49"/>
      <c r="D157" s="58"/>
    </row>
    <row r="158">
      <c r="B158" s="53" t="s">
        <v>228</v>
      </c>
      <c r="C158" s="48"/>
      <c r="D158" s="48"/>
    </row>
    <row r="159">
      <c r="B159" s="51"/>
      <c r="C159" s="48"/>
      <c r="D159" s="48"/>
    </row>
    <row r="160">
      <c r="B160" s="86" t="s">
        <v>16</v>
      </c>
      <c r="C160" s="48"/>
      <c r="D160" s="48"/>
    </row>
    <row r="161">
      <c r="B161" s="58" t="s">
        <v>229</v>
      </c>
      <c r="C161" s="48"/>
      <c r="D161" s="48"/>
    </row>
  </sheetData>
  <drawing r:id="rId1"/>
  <tableParts count="2">
    <tablePart r:id="rId4"/>
    <tablePart r:id="rId5"/>
  </tableParts>
</worksheet>
</file>